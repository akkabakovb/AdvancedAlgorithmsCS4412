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HP\Desktop\CS4412\Projects\proj3\report\"/>
    </mc:Choice>
  </mc:AlternateContent>
  <xr:revisionPtr revIDLastSave="0" documentId="13_ncr:1_{7FA93E6F-2B6B-4974-863D-DC8123639A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I3" i="1"/>
  <c r="H5" i="1"/>
  <c r="H6" i="1"/>
  <c r="H4" i="1"/>
  <c r="G14" i="1"/>
  <c r="G11" i="1"/>
  <c r="G12" i="1"/>
  <c r="G13" i="1"/>
  <c r="G10" i="1"/>
  <c r="G6" i="1"/>
  <c r="G5" i="1"/>
  <c r="G4" i="1"/>
  <c r="G3" i="1"/>
</calcChain>
</file>

<file path=xl/sharedStrings.xml><?xml version="1.0" encoding="utf-8"?>
<sst xmlns="http://schemas.openxmlformats.org/spreadsheetml/2006/main" count="18" uniqueCount="11">
  <si>
    <t># nodes/time</t>
  </si>
  <si>
    <t>run 1</t>
  </si>
  <si>
    <t>run 2</t>
  </si>
  <si>
    <t>run 3</t>
  </si>
  <si>
    <t>run 4</t>
  </si>
  <si>
    <t>run 5</t>
  </si>
  <si>
    <t>mean</t>
  </si>
  <si>
    <t>Heap</t>
  </si>
  <si>
    <t>Array</t>
  </si>
  <si>
    <t>linear increase</t>
  </si>
  <si>
    <t>average for linear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</si>
</sst>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ArrayPQ vs</a:t>
            </a:r>
            <a:r>
              <a:rPr lang="en-US" baseline="0"/>
              <a:t> HeapPQ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ArrayPQ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Sheet1!$A$3:$A$7</c:f>
              <c:numCache>
                <c:formatCode>#,##0</c:formatCode>
                <c:ptCount val="5"/>
                <c:pt idx="0" formatCode="General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Sheet1!$G$3:$G$7</c:f>
              <c:numCache>
                <c:formatCode>General</c:formatCode>
                <c:ptCount val="5"/>
                <c:pt idx="0">
                  <c:v>7.6140000000000008E-4</c:v>
                </c:pt>
                <c:pt idx="1">
                  <c:v>5.6815199999999996E-2</c:v>
                </c:pt>
                <c:pt idx="2">
                  <c:v>5.9850362000000006</c:v>
                </c:pt>
                <c:pt idx="3">
                  <c:v>437.76870980000001</c:v>
                </c:pt>
                <c:pt idx="4">
                  <c:v>36933.877839554109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EA-4B96-9A96-18D2AF47E6B2}"/>
            </c:ext>
          </c:extLst>
        </c:ser>
        <c:ser>
          <c:idx val="1"/>
          <c:order val="1"/>
          <c:tx>
            <c:v>HeapPQ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Sheet1!$A$3:$A$7</c:f>
              <c:numCache>
                <c:formatCode>#,##0</c:formatCode>
                <c:ptCount val="5"/>
                <c:pt idx="0" formatCode="General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Sheet1!$G$10:$G$14</c:f>
              <c:numCache>
                <c:formatCode>General</c:formatCode>
                <c:ptCount val="5"/>
                <c:pt idx="0">
                  <c:v>5.2820000000000005E-4</c:v>
                </c:pt>
                <c:pt idx="1">
                  <c:v>7.4970000000000011E-3</c:v>
                </c:pt>
                <c:pt idx="2">
                  <c:v>0.1149322</c:v>
                </c:pt>
                <c:pt idx="3">
                  <c:v>1.4343815999999998</c:v>
                </c:pt>
                <c:pt idx="4">
                  <c:v>23.331806400000001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EA-4B96-9A96-18D2AF47E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854352"/>
        <c:axId val="1053187168"/>
      </c:scatterChart>
      <c:valAx>
        <c:axId val="10468543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3187168"/>
        <c:crosses val="autoZero"/>
        <c:crossBetween val="midCat"/>
      </c:valAx>
      <c:valAx>
        <c:axId val="105318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6854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171450</xdr:rowOff>
    </xdr:from>
    <xdr:to>
      <xdr:col>16</xdr:col>
      <xdr:colOff>304800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ABA9B-BE64-941F-58C1-12F06A724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L20" sqref="L20"/>
    </sheetView>
  </sheetViews>
  <sheetFormatPr defaultRowHeight="14.4" x14ac:dyDescent="0.3"/>
  <cols>
    <col min="1" max="1" width="15.77734375" customWidth="1"/>
    <col min="8" max="8" width="12.44140625" customWidth="1"/>
    <col min="9" max="9" width="22" customWidth="1"/>
  </cols>
  <sheetData>
    <row r="1" spans="1:9" x14ac:dyDescent="0.3">
      <c r="A1" t="s">
        <v>8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9</v>
      </c>
      <c r="I2" t="s">
        <v>10</v>
      </c>
    </row>
    <row r="3" spans="1:9" x14ac:dyDescent="0.3">
      <c r="A3">
        <v>100</v>
      </c>
      <c r="B3">
        <v>7.9000000000000001E-4</v>
      </c>
      <c r="C3">
        <v>7.3300000000000004E-4</v>
      </c>
      <c r="D3">
        <v>8.6399999999999997E-4</v>
      </c>
      <c r="E3">
        <v>7.0100000000000002E-4</v>
      </c>
      <c r="F3">
        <v>7.1900000000000002E-4</v>
      </c>
      <c r="G3">
        <f>AVERAGE(B3,C3:F3)</f>
        <v>7.6140000000000008E-4</v>
      </c>
      <c r="I3">
        <f>AVERAGE(H4,H5:H6)</f>
        <v>84.368473608878546</v>
      </c>
    </row>
    <row r="4" spans="1:9" x14ac:dyDescent="0.3">
      <c r="A4" s="1">
        <v>1000</v>
      </c>
      <c r="B4">
        <v>5.7148999999999998E-2</v>
      </c>
      <c r="C4">
        <v>5.6731999999999998E-2</v>
      </c>
      <c r="D4">
        <v>5.7107999999999999E-2</v>
      </c>
      <c r="E4">
        <v>5.6188000000000002E-2</v>
      </c>
      <c r="F4">
        <v>5.6898999999999998E-2</v>
      </c>
      <c r="G4">
        <f t="shared" ref="G4:G6" si="0">AVERAGE(B4,C4:F4)</f>
        <v>5.6815199999999996E-2</v>
      </c>
      <c r="H4">
        <f>G4/G3</f>
        <v>74.619385342789585</v>
      </c>
    </row>
    <row r="5" spans="1:9" x14ac:dyDescent="0.3">
      <c r="A5" s="1">
        <v>10000</v>
      </c>
      <c r="B5">
        <v>5.7406090000000001</v>
      </c>
      <c r="C5">
        <v>6.3168069999999998</v>
      </c>
      <c r="D5">
        <v>5.9811560000000004</v>
      </c>
      <c r="E5">
        <v>5.9400750000000002</v>
      </c>
      <c r="F5">
        <v>5.9465339999999998</v>
      </c>
      <c r="G5">
        <f t="shared" si="0"/>
        <v>5.9850362000000006</v>
      </c>
      <c r="H5">
        <f t="shared" ref="H5:H6" si="1">G5/G4</f>
        <v>105.34216547684424</v>
      </c>
    </row>
    <row r="6" spans="1:9" x14ac:dyDescent="0.3">
      <c r="A6" s="1">
        <v>100000</v>
      </c>
      <c r="B6">
        <v>386.23328600000002</v>
      </c>
      <c r="C6">
        <v>448.21904999999998</v>
      </c>
      <c r="D6">
        <v>435.61182000000002</v>
      </c>
      <c r="E6">
        <v>471.10465699999997</v>
      </c>
      <c r="F6">
        <v>447.674736</v>
      </c>
      <c r="G6">
        <f t="shared" si="0"/>
        <v>437.76870980000001</v>
      </c>
      <c r="H6">
        <f t="shared" si="1"/>
        <v>73.143870007001794</v>
      </c>
    </row>
    <row r="7" spans="1:9" x14ac:dyDescent="0.3">
      <c r="A7" s="1">
        <v>1000000</v>
      </c>
      <c r="G7" s="2">
        <f>G6*I3</f>
        <v>36933.877839554109</v>
      </c>
    </row>
    <row r="8" spans="1:9" x14ac:dyDescent="0.3">
      <c r="A8" t="s">
        <v>7</v>
      </c>
    </row>
    <row r="9" spans="1:9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</row>
    <row r="10" spans="1:9" x14ac:dyDescent="0.3">
      <c r="A10">
        <v>100</v>
      </c>
      <c r="B10">
        <v>4.9700000000000005E-4</v>
      </c>
      <c r="C10">
        <v>4.8899999999999996E-4</v>
      </c>
      <c r="D10">
        <v>5.7600000000000001E-4</v>
      </c>
      <c r="E10">
        <v>5.0000000000000001E-4</v>
      </c>
      <c r="F10">
        <v>5.7899999999999998E-4</v>
      </c>
      <c r="G10">
        <f>AVERAGE(B10,C10:F10)</f>
        <v>5.2820000000000005E-4</v>
      </c>
    </row>
    <row r="11" spans="1:9" x14ac:dyDescent="0.3">
      <c r="A11" s="1">
        <v>1000</v>
      </c>
      <c r="B11">
        <v>7.4999999999999997E-3</v>
      </c>
      <c r="C11">
        <v>7.3140000000000002E-3</v>
      </c>
      <c r="D11">
        <v>7.2379999999999996E-3</v>
      </c>
      <c r="E11">
        <v>7.9550000000000003E-3</v>
      </c>
      <c r="F11">
        <v>7.4780000000000003E-3</v>
      </c>
      <c r="G11">
        <f t="shared" ref="G11:G13" si="2">AVERAGE(B11,C11:F11)</f>
        <v>7.4970000000000011E-3</v>
      </c>
    </row>
    <row r="12" spans="1:9" x14ac:dyDescent="0.3">
      <c r="A12" s="1">
        <v>10000</v>
      </c>
      <c r="B12">
        <v>0.11693099999999999</v>
      </c>
      <c r="C12">
        <v>0.109877</v>
      </c>
      <c r="D12">
        <v>0.11858399999999999</v>
      </c>
      <c r="E12">
        <v>0.11588</v>
      </c>
      <c r="F12">
        <v>0.113389</v>
      </c>
      <c r="G12">
        <f t="shared" si="2"/>
        <v>0.1149322</v>
      </c>
    </row>
    <row r="13" spans="1:9" x14ac:dyDescent="0.3">
      <c r="A13" s="1">
        <v>100000</v>
      </c>
      <c r="B13">
        <v>1.2955049999999999</v>
      </c>
      <c r="C13">
        <v>1.315696</v>
      </c>
      <c r="D13">
        <v>1.3426899999999999</v>
      </c>
      <c r="E13">
        <v>1.351939</v>
      </c>
      <c r="F13">
        <v>1.8660779999999999</v>
      </c>
      <c r="G13">
        <f t="shared" si="2"/>
        <v>1.4343815999999998</v>
      </c>
    </row>
    <row r="14" spans="1:9" x14ac:dyDescent="0.3">
      <c r="A14" s="1">
        <v>1000000</v>
      </c>
      <c r="B14">
        <v>22.775448000000001</v>
      </c>
      <c r="C14">
        <v>24.621057</v>
      </c>
      <c r="D14">
        <v>22.266603</v>
      </c>
      <c r="E14">
        <v>23.002341000000001</v>
      </c>
      <c r="F14">
        <v>23.993583000000001</v>
      </c>
      <c r="G14">
        <f>AVERAGE(B14,C14:F14)</f>
        <v>23.331806400000001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Бектур Аккабаков</cp:lastModifiedBy>
  <dcterms:created xsi:type="dcterms:W3CDTF">2015-06-05T18:17:20Z</dcterms:created>
  <dcterms:modified xsi:type="dcterms:W3CDTF">2026-03-03T22:06:47Z</dcterms:modified>
</cp:coreProperties>
</file>